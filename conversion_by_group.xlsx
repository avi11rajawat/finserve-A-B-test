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11\Desktop\"/>
    </mc:Choice>
  </mc:AlternateContent>
  <bookViews>
    <workbookView xWindow="0" yWindow="0" windowWidth="10710" windowHeight="4100"/>
  </bookViews>
  <sheets>
    <sheet name="conversion_by_group" sheetId="1" r:id="rId1"/>
  </sheets>
  <calcPr calcId="0"/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<sst xmlns="http://schemas.openxmlformats.org/spreadsheetml/2006/main" count="16" uniqueCount="16">
  <si>
    <t>Raw Summary Data</t>
  </si>
  <si>
    <t>Group</t>
  </si>
  <si>
    <t>Total_users</t>
  </si>
  <si>
    <t>Conversions</t>
  </si>
  <si>
    <t>Conversion_Rate</t>
  </si>
  <si>
    <t>A</t>
  </si>
  <si>
    <t>B</t>
  </si>
  <si>
    <t>Statistical Test Calculation</t>
  </si>
  <si>
    <t>Pooled Proportion</t>
  </si>
  <si>
    <t>Standard error</t>
  </si>
  <si>
    <t>Z-Score</t>
  </si>
  <si>
    <t xml:space="preserve">P - Value Two Tailed </t>
  </si>
  <si>
    <t>Difference (pB - pA)</t>
  </si>
  <si>
    <t>Absolute Lift</t>
  </si>
  <si>
    <t>Incremental Conversions</t>
  </si>
  <si>
    <t>Extra Conersions per 100k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</si>
</sst>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33" borderId="10" xfId="0" applyFill="1" applyBorder="1" applyAlignment="1">
      <alignment horizontal="center"/>
    </xf>
    <xf numFmtId="10" fontId="0" fillId="33" borderId="10" xfId="0" applyNumberForma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0" fontId="18" fillId="35" borderId="14" xfId="0" applyFont="1" applyFill="1" applyBorder="1" applyAlignment="1">
      <alignment horizontal="center"/>
    </xf>
    <xf numFmtId="0" fontId="16" fillId="33" borderId="10" xfId="0" applyFont="1" applyFill="1" applyBorder="1"/>
    <xf numFmtId="0" fontId="0" fillId="33" borderId="10" xfId="0" applyFill="1" applyBorder="1"/>
    <xf numFmtId="0" fontId="18" fillId="34" borderId="0" xfId="0" applyFont="1" applyFill="1" applyAlignment="1">
      <alignment horizontal="center"/>
    </xf>
    <xf numFmtId="169" fontId="0" fillId="33" borderId="10" xfId="0" applyNumberFormat="1" applyFill="1" applyBorder="1"/>
    <xf numFmtId="1" fontId="0" fillId="33" borderId="10" xfId="0" applyNumberFormat="1" applyFill="1" applyBorder="1"/>
    <xf numFmtId="10" fontId="0" fillId="33" borderId="11" xfId="0" applyNumberFormat="1" applyFill="1" applyBorder="1"/>
    <xf numFmtId="10" fontId="0" fillId="33" borderId="10" xfId="0" applyNumberFormat="1" applyFill="1" applyBorder="1"/>
    <xf numFmtId="169" fontId="0" fillId="33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Conversion</a:t>
            </a:r>
            <a:r>
              <a:rPr lang="en-US" baseline="0">
                <a:solidFill>
                  <a:schemeClr val="tx1"/>
                </a:solidFill>
              </a:rPr>
              <a:t> </a:t>
            </a:r>
            <a:r>
              <a:rPr lang="en-US">
                <a:solidFill>
                  <a:schemeClr val="tx1"/>
                </a:solidFill>
              </a:rPr>
              <a:t>Rate A</a:t>
            </a:r>
            <a:r>
              <a:rPr lang="en-US" baseline="0">
                <a:solidFill>
                  <a:schemeClr val="tx1"/>
                </a:solidFill>
              </a:rPr>
              <a:t> vs B</a:t>
            </a:r>
            <a:endParaRPr lang="en-US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conversion_by_group!$D$2</c:f>
              <c:strCache>
                <c:ptCount val="1"/>
                <c:pt idx="0">
                  <c:v>Conversion_Rate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BEC2-4750-8EFD-A1F2F8733F9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C2-4750-8EFD-A1F2F8733F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conversion_by_group!$A$3:$A$4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conversion_by_group!$D$3:$D$4</c:f>
              <c:numCache>
                <c:formatCode>0.00%</c:formatCode>
                <c:ptCount val="2"/>
                <c:pt idx="0">
                  <c:v>6.8099999999999994E-2</c:v>
                </c:pt>
                <c:pt idx="1">
                  <c:v>7.8399999999999997E-2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2-4750-8EFD-A1F2F8733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9683120"/>
        <c:axId val="1509677296"/>
      </c:barChart>
      <c:catAx>
        <c:axId val="150968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77296"/>
        <c:crosses val="autoZero"/>
        <c:auto val="1"/>
        <c:lblAlgn val="ctr"/>
        <c:lblOffset val="100"/>
        <c:noMultiLvlLbl val="0"/>
      </c:catAx>
      <c:valAx>
        <c:axId val="150967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68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187325</xdr:rowOff>
    </xdr:from>
    <xdr:to>
      <xdr:col>12</xdr:col>
      <xdr:colOff>314325</xdr:colOff>
      <xdr:row>15</xdr:row>
      <xdr:rowOff>53975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O12" sqref="O12"/>
    </sheetView>
  </sheetViews>
  <sheetFormatPr defaultRowHeight="14.5" x14ac:dyDescent="0.35"/>
  <cols>
    <col min="2" max="2" width="27.90625" bestFit="1" customWidth="1"/>
    <col min="3" max="3" width="12.36328125" bestFit="1" customWidth="1"/>
    <col min="4" max="4" width="15" bestFit="1" customWidth="1"/>
  </cols>
  <sheetData>
    <row r="1" spans="1:4" ht="16" thickBot="1" x14ac:dyDescent="0.4">
      <c r="A1" s="8" t="s">
        <v>0</v>
      </c>
      <c r="B1" s="8"/>
      <c r="C1" s="8"/>
      <c r="D1" s="8"/>
    </row>
    <row r="2" spans="1:4" ht="15" thickBot="1" x14ac:dyDescent="0.4">
      <c r="A2" s="3" t="s">
        <v>1</v>
      </c>
      <c r="B2" s="3" t="s">
        <v>2</v>
      </c>
      <c r="C2" s="3" t="s">
        <v>3</v>
      </c>
      <c r="D2" s="3" t="s">
        <v>4</v>
      </c>
    </row>
    <row r="3" spans="1:4" ht="15" thickBot="1" x14ac:dyDescent="0.4">
      <c r="A3" s="1" t="s">
        <v>5</v>
      </c>
      <c r="B3" s="1">
        <v>24947</v>
      </c>
      <c r="C3" s="1">
        <v>1699</v>
      </c>
      <c r="D3" s="2">
        <v>6.8099999999999994E-2</v>
      </c>
    </row>
    <row r="4" spans="1:4" ht="15" thickBot="1" x14ac:dyDescent="0.4">
      <c r="A4" s="1" t="s">
        <v>6</v>
      </c>
      <c r="B4" s="1">
        <v>25053</v>
      </c>
      <c r="C4" s="1">
        <v>1964</v>
      </c>
      <c r="D4" s="2">
        <v>7.8399999999999997E-2</v>
      </c>
    </row>
    <row r="6" spans="1:4" ht="15" thickBot="1" x14ac:dyDescent="0.4"/>
    <row r="7" spans="1:4" ht="16" thickBot="1" x14ac:dyDescent="0.4">
      <c r="B7" s="4" t="s">
        <v>7</v>
      </c>
      <c r="C7" s="5"/>
    </row>
    <row r="8" spans="1:4" ht="15" thickBot="1" x14ac:dyDescent="0.4">
      <c r="B8" s="6" t="s">
        <v>8</v>
      </c>
      <c r="C8" s="11">
        <f>(C3 + C4) / (B3 + B4)</f>
        <v>7.3260000000000006E-2</v>
      </c>
    </row>
    <row r="9" spans="1:4" ht="15" thickBot="1" x14ac:dyDescent="0.4">
      <c r="B9" s="6" t="s">
        <v>9</v>
      </c>
      <c r="C9" s="9">
        <f>SQRT(C8 * (1 - C8) * (1/B3 + 1/B4))</f>
        <v>2.3305497641465901E-3</v>
      </c>
    </row>
    <row r="10" spans="1:4" ht="15" thickBot="1" x14ac:dyDescent="0.4">
      <c r="B10" s="6" t="s">
        <v>10</v>
      </c>
      <c r="C10" s="9">
        <f>(D4 - D3) / C9</f>
        <v>4.419558062417817</v>
      </c>
    </row>
    <row r="11" spans="1:4" ht="15" thickBot="1" x14ac:dyDescent="0.4">
      <c r="B11" s="6" t="s">
        <v>11</v>
      </c>
      <c r="C11" s="9">
        <f>2 * (1 - _xlfn.NORM.S.DIST(ABS(C10), TRUE))</f>
        <v>9.8902947065493407E-6</v>
      </c>
    </row>
    <row r="12" spans="1:4" ht="15" thickBot="1" x14ac:dyDescent="0.4">
      <c r="B12" s="6" t="s">
        <v>12</v>
      </c>
      <c r="C12" s="12">
        <f>D4 - D3</f>
        <v>1.0300000000000004E-2</v>
      </c>
    </row>
    <row r="13" spans="1:4" ht="15" thickBot="1" x14ac:dyDescent="0.4">
      <c r="B13" s="6" t="s">
        <v>13</v>
      </c>
      <c r="C13" s="13">
        <f>(D4-D3)*100</f>
        <v>1.0300000000000002</v>
      </c>
    </row>
    <row r="14" spans="1:4" ht="15" thickBot="1" x14ac:dyDescent="0.4">
      <c r="B14" s="6" t="s">
        <v>14</v>
      </c>
      <c r="C14" s="7">
        <f>C4 - C3</f>
        <v>265</v>
      </c>
    </row>
    <row r="15" spans="1:4" ht="15" thickBot="1" x14ac:dyDescent="0.4">
      <c r="B15" s="6" t="s">
        <v>15</v>
      </c>
      <c r="C15" s="10">
        <f>C12* 100000</f>
        <v>1030.0000000000005</v>
      </c>
    </row>
  </sheetData>
  <mergeCells count="2">
    <mergeCell ref="A1:D1"/>
    <mergeCell ref="B7:C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conversion_by_group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Rajawat</dc:creator>
  <cp:lastModifiedBy>Harsh Rajawat</cp:lastModifiedBy>
  <dcterms:created xsi:type="dcterms:W3CDTF">2025-11-17T16:51:14Z</dcterms:created>
  <dcterms:modified xsi:type="dcterms:W3CDTF">2025-11-17T16:51:16Z</dcterms:modified>
</cp:coreProperties>
</file>